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Chen2/Desktop/UIC/FYP/rv_prediction/"/>
    </mc:Choice>
  </mc:AlternateContent>
  <xr:revisionPtr revIDLastSave="0" documentId="13_ncr:1_{F8BC4B0B-5932-4545-B7B5-293855D54AF5}" xr6:coauthVersionLast="47" xr6:coauthVersionMax="47" xr10:uidLastSave="{00000000-0000-0000-0000-000000000000}"/>
  <bookViews>
    <workbookView xWindow="240" yWindow="900" windowWidth="23400" windowHeight="17440" activeTab="8" xr2:uid="{7F2BB700-86EE-9D44-A770-8EE9C6BE0B5E}"/>
  </bookViews>
  <sheets>
    <sheet name="MSE20" sheetId="1" r:id="rId1"/>
    <sheet name="MAE20" sheetId="2" r:id="rId2"/>
    <sheet name="MSE100" sheetId="3" r:id="rId3"/>
    <sheet name="MAE100" sheetId="4" r:id="rId4"/>
    <sheet name="presenting" sheetId="5" r:id="rId5"/>
    <sheet name="original_MSE20" sheetId="6" r:id="rId6"/>
    <sheet name="original_MSE100" sheetId="7" r:id="rId7"/>
    <sheet name="original_MAE20" sheetId="8" r:id="rId8"/>
    <sheet name="original_MAE100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5" l="1"/>
  <c r="L31" i="5"/>
  <c r="M31" i="5"/>
  <c r="N31" i="5"/>
  <c r="O31" i="5"/>
  <c r="L32" i="5"/>
  <c r="M32" i="5"/>
  <c r="N32" i="5"/>
  <c r="O32" i="5"/>
  <c r="L33" i="5"/>
  <c r="M33" i="5"/>
  <c r="N33" i="5"/>
  <c r="O33" i="5"/>
  <c r="L35" i="5"/>
  <c r="M35" i="5"/>
  <c r="N35" i="5"/>
  <c r="O35" i="5"/>
  <c r="L36" i="5"/>
  <c r="M36" i="5"/>
  <c r="N36" i="5"/>
  <c r="O36" i="5"/>
  <c r="L37" i="5"/>
  <c r="M37" i="5"/>
  <c r="N37" i="5"/>
  <c r="O37" i="5"/>
  <c r="L38" i="5"/>
  <c r="M38" i="5"/>
  <c r="N38" i="5"/>
  <c r="O38" i="5"/>
  <c r="M30" i="5"/>
  <c r="N30" i="5"/>
  <c r="O30" i="5"/>
  <c r="L30" i="5"/>
  <c r="L14" i="5"/>
  <c r="M14" i="5"/>
  <c r="N14" i="5"/>
  <c r="O14" i="5"/>
  <c r="L15" i="5"/>
  <c r="M15" i="5"/>
  <c r="N15" i="5"/>
  <c r="O15" i="5"/>
  <c r="L16" i="5"/>
  <c r="M16" i="5"/>
  <c r="N16" i="5"/>
  <c r="O16" i="5"/>
  <c r="L18" i="5"/>
  <c r="M18" i="5"/>
  <c r="N18" i="5"/>
  <c r="O18" i="5"/>
  <c r="L19" i="5"/>
  <c r="M19" i="5"/>
  <c r="N19" i="5"/>
  <c r="O19" i="5"/>
  <c r="L20" i="5"/>
  <c r="M20" i="5"/>
  <c r="N20" i="5"/>
  <c r="O20" i="5"/>
  <c r="L21" i="5"/>
  <c r="M21" i="5"/>
  <c r="N21" i="5"/>
  <c r="O21" i="5"/>
  <c r="M13" i="5"/>
  <c r="N13" i="5"/>
  <c r="O13" i="5"/>
</calcChain>
</file>

<file path=xl/sharedStrings.xml><?xml version="1.0" encoding="utf-8"?>
<sst xmlns="http://schemas.openxmlformats.org/spreadsheetml/2006/main" count="139" uniqueCount="15">
  <si>
    <t>FNN</t>
  </si>
  <si>
    <t>LSTM</t>
  </si>
  <si>
    <t>Transformer</t>
  </si>
  <si>
    <t>iTransformer</t>
  </si>
  <si>
    <t>CSI300</t>
  </si>
  <si>
    <t>SHCOMP</t>
  </si>
  <si>
    <t>SZCOMP</t>
  </si>
  <si>
    <t>ChiNextComp</t>
  </si>
  <si>
    <t>MSE20</t>
  </si>
  <si>
    <t>MSE100</t>
  </si>
  <si>
    <t>Dataset</t>
  </si>
  <si>
    <t>Orginal Scale</t>
  </si>
  <si>
    <t>Original Scale</t>
  </si>
  <si>
    <t>MAE20</t>
  </si>
  <si>
    <t>MAE100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</si>
</sst>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9" formatCode="0.00000"/>
    <numFmt numFmtId="172" formatCode="00.00E-\6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1" fontId="0" fillId="0" borderId="0" xfId="0" applyNumberFormat="1"/>
    <xf numFmtId="169" fontId="0" fillId="0" borderId="0" xfId="0" applyNumberFormat="1"/>
    <xf numFmtId="169" fontId="1" fillId="0" borderId="0" xfId="0" applyNumberFormat="1" applyFont="1"/>
    <xf numFmtId="172" fontId="0" fillId="0" borderId="0" xfId="0" applyNumberFormat="1"/>
    <xf numFmtId="17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ACE2-1EAC-EF47-8A9A-04666AD577CC}">
  <dimension ref="A1:E5"/>
  <sheetViews>
    <sheetView zoomScale="140" workbookViewId="0"/>
  </sheetViews>
  <sheetFormatPr baseColWidth="10" defaultRowHeight="16" x14ac:dyDescent="0.2"/>
  <cols>
    <col min="1" max="1" width="15.6640625" customWidth="1"/>
  </cols>
  <sheetData>
    <row r="1" spans="1:5" x14ac:dyDescent="0.2">
      <c r="A1" s="1" t="s">
        <v>8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0</v>
      </c>
      <c r="B2">
        <v>2.6542739999999999E-2</v>
      </c>
      <c r="C2">
        <v>1.938954E-2</v>
      </c>
      <c r="D2">
        <v>2.3610519999999999E-2</v>
      </c>
      <c r="E2">
        <v>2.4459560000000002E-2</v>
      </c>
    </row>
    <row r="3" spans="1:5" x14ac:dyDescent="0.2">
      <c r="A3" t="s">
        <v>1</v>
      </c>
      <c r="B3">
        <v>2.0378609999999998E-2</v>
      </c>
      <c r="C3">
        <v>2.1227679999999999E-2</v>
      </c>
      <c r="D3">
        <v>1.8762069999999999E-2</v>
      </c>
      <c r="E3">
        <v>1.5987649999999999E-2</v>
      </c>
    </row>
    <row r="4" spans="1:5" x14ac:dyDescent="0.2">
      <c r="A4" t="s">
        <v>2</v>
      </c>
      <c r="B4">
        <v>1.852142E-2</v>
      </c>
      <c r="C4">
        <v>2.9502939999999998E-2</v>
      </c>
      <c r="D4">
        <v>1.6146400000000002E-2</v>
      </c>
      <c r="E4">
        <v>1.544922E-2</v>
      </c>
    </row>
    <row r="5" spans="1:5" x14ac:dyDescent="0.2">
      <c r="A5" t="s">
        <v>3</v>
      </c>
      <c r="B5">
        <v>1.486466E-2</v>
      </c>
      <c r="C5">
        <v>1.3406950000000001E-2</v>
      </c>
      <c r="D5">
        <v>1.435987E-2</v>
      </c>
      <c r="E5">
        <v>1.9218510000000001E-2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BDE5-7609-184C-8CF7-A508271821E2}">
  <dimension ref="A1:E5"/>
  <sheetViews>
    <sheetView zoomScale="125" workbookViewId="0">
      <selection activeCell="A2" sqref="A2"/>
    </sheetView>
  </sheetViews>
  <sheetFormatPr baseColWidth="10" defaultRowHeight="16" x14ac:dyDescent="0.2"/>
  <cols>
    <col min="1" max="1" width="14" customWidth="1"/>
  </cols>
  <sheetData>
    <row r="1" spans="1:5" x14ac:dyDescent="0.2">
      <c r="A1" s="1" t="s">
        <v>13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0</v>
      </c>
      <c r="B2">
        <v>0.11525721</v>
      </c>
      <c r="C2">
        <v>9.4660279999999999E-2</v>
      </c>
      <c r="D2">
        <v>0.11466030000000001</v>
      </c>
      <c r="E2">
        <v>0.12029703999999999</v>
      </c>
    </row>
    <row r="3" spans="1:5" x14ac:dyDescent="0.2">
      <c r="A3" t="s">
        <v>1</v>
      </c>
      <c r="B3">
        <v>8.2996829999999994E-2</v>
      </c>
      <c r="C3">
        <v>9.733385E-2</v>
      </c>
      <c r="D3">
        <v>6.4129640000000002E-2</v>
      </c>
      <c r="E3">
        <v>6.4883869999999996E-2</v>
      </c>
    </row>
    <row r="4" spans="1:5" x14ac:dyDescent="0.2">
      <c r="A4" t="s">
        <v>2</v>
      </c>
      <c r="B4">
        <v>6.0953229999999997E-2</v>
      </c>
      <c r="C4">
        <v>7.9260449999999996E-2</v>
      </c>
      <c r="D4">
        <v>7.0823140000000007E-2</v>
      </c>
      <c r="E4">
        <v>5.7937309999999999E-2</v>
      </c>
    </row>
    <row r="5" spans="1:5" x14ac:dyDescent="0.2">
      <c r="A5" t="s">
        <v>3</v>
      </c>
      <c r="B5">
        <v>5.5707189999999997E-2</v>
      </c>
      <c r="C5">
        <v>5.6870370000000003E-2</v>
      </c>
      <c r="D5">
        <v>5.3792220000000002E-2</v>
      </c>
      <c r="E5">
        <v>6.8501240000000005E-2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7E51-0580-624F-89FC-B4095036F3D5}">
  <dimension ref="A1:E5"/>
  <sheetViews>
    <sheetView zoomScale="125" workbookViewId="0">
      <selection activeCell="E26" sqref="E26"/>
    </sheetView>
  </sheetViews>
  <sheetFormatPr baseColWidth="10" defaultRowHeight="16" x14ac:dyDescent="0.2"/>
  <sheetData>
    <row r="1" spans="1:5" x14ac:dyDescent="0.2">
      <c r="A1" s="1" t="s">
        <v>9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0</v>
      </c>
      <c r="B2">
        <v>2.1184669999999999E-2</v>
      </c>
      <c r="C2">
        <v>2.033213E-2</v>
      </c>
      <c r="D2">
        <v>2.1006400000000001E-2</v>
      </c>
      <c r="E2">
        <v>2.1194589999999999E-2</v>
      </c>
    </row>
    <row r="3" spans="1:5" x14ac:dyDescent="0.2">
      <c r="A3" t="s">
        <v>1</v>
      </c>
      <c r="B3">
        <v>1.9772419999999999E-2</v>
      </c>
      <c r="C3">
        <v>1.8537809999999998E-2</v>
      </c>
      <c r="D3">
        <v>1.7354620000000001E-2</v>
      </c>
      <c r="E3">
        <v>1.7174709999999999E-2</v>
      </c>
    </row>
    <row r="4" spans="1:5" x14ac:dyDescent="0.2">
      <c r="A4" t="s">
        <v>2</v>
      </c>
      <c r="B4">
        <v>1.8211740000000001E-2</v>
      </c>
      <c r="C4">
        <v>1.723599E-2</v>
      </c>
      <c r="D4">
        <v>1.7005070000000001E-2</v>
      </c>
      <c r="E4">
        <v>1.6307370000000002E-2</v>
      </c>
    </row>
    <row r="5" spans="1:5" x14ac:dyDescent="0.2">
      <c r="A5" t="s">
        <v>3</v>
      </c>
      <c r="B5">
        <v>1.7585139999999999E-2</v>
      </c>
      <c r="C5">
        <v>1.6567579999999998E-2</v>
      </c>
      <c r="D5">
        <v>1.6919980000000001E-2</v>
      </c>
      <c r="E5">
        <v>1.843034E-2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22DE-2A41-2449-99C5-60DB8B62515C}">
  <dimension ref="A1:E5"/>
  <sheetViews>
    <sheetView zoomScale="133" workbookViewId="0"/>
  </sheetViews>
  <sheetFormatPr baseColWidth="10" defaultRowHeight="16" x14ac:dyDescent="0.2"/>
  <sheetData>
    <row r="1" spans="1:5" x14ac:dyDescent="0.2">
      <c r="A1" s="1" t="s">
        <v>14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0</v>
      </c>
      <c r="B2">
        <v>0.10187482</v>
      </c>
      <c r="C2">
        <v>9.5869289999999996E-2</v>
      </c>
      <c r="D2">
        <v>0.10095345999999999</v>
      </c>
      <c r="E2">
        <v>8.6419460000000003E-2</v>
      </c>
    </row>
    <row r="3" spans="1:5" x14ac:dyDescent="0.2">
      <c r="A3" t="s">
        <v>1</v>
      </c>
      <c r="B3">
        <v>9.3079460000000003E-2</v>
      </c>
      <c r="C3">
        <v>8.3523169999999994E-2</v>
      </c>
      <c r="D3">
        <v>7.3421139999999996E-2</v>
      </c>
      <c r="E3">
        <v>7.3405570000000003E-2</v>
      </c>
    </row>
    <row r="4" spans="1:5" x14ac:dyDescent="0.2">
      <c r="A4" t="s">
        <v>2</v>
      </c>
      <c r="B4">
        <v>8.1262630000000002E-2</v>
      </c>
      <c r="C4">
        <v>7.1003490000000002E-2</v>
      </c>
      <c r="D4">
        <v>6.7970199999999995E-2</v>
      </c>
      <c r="E4">
        <v>6.0841310000000003E-2</v>
      </c>
    </row>
    <row r="5" spans="1:5" x14ac:dyDescent="0.2">
      <c r="A5" t="s">
        <v>3</v>
      </c>
      <c r="B5">
        <v>6.370265E-2</v>
      </c>
      <c r="C5">
        <v>6.5556669999999997E-2</v>
      </c>
      <c r="D5">
        <v>6.9653519999999997E-2</v>
      </c>
      <c r="E5">
        <v>6.8649119999999994E-2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D054-5143-6F45-A233-0CA4DD4A1450}">
  <dimension ref="A1:O38"/>
  <sheetViews>
    <sheetView zoomScale="83" workbookViewId="0">
      <selection activeCell="M39" sqref="M39"/>
    </sheetView>
  </sheetViews>
  <sheetFormatPr baseColWidth="10" defaultRowHeight="16" x14ac:dyDescent="0.2"/>
  <cols>
    <col min="3" max="6" width="13.6640625" bestFit="1" customWidth="1"/>
    <col min="10" max="10" width="13.83203125" customWidth="1"/>
    <col min="11" max="11" width="13.33203125" customWidth="1"/>
  </cols>
  <sheetData>
    <row r="1" spans="1:15" x14ac:dyDescent="0.2">
      <c r="A1" s="2"/>
      <c r="B1" s="2"/>
      <c r="C1" s="6" t="s">
        <v>10</v>
      </c>
      <c r="D1" s="6"/>
      <c r="E1" s="6"/>
      <c r="F1" s="6"/>
      <c r="K1" t="s">
        <v>4</v>
      </c>
      <c r="L1" t="s">
        <v>5</v>
      </c>
      <c r="M1" t="s">
        <v>6</v>
      </c>
      <c r="N1" t="s">
        <v>7</v>
      </c>
    </row>
    <row r="2" spans="1:15" x14ac:dyDescent="0.2">
      <c r="A2" s="2"/>
      <c r="B2" s="2"/>
      <c r="C2" s="4" t="s">
        <v>4</v>
      </c>
      <c r="D2" s="4" t="s">
        <v>5</v>
      </c>
      <c r="E2" s="4" t="s">
        <v>6</v>
      </c>
      <c r="F2" s="4" t="s">
        <v>7</v>
      </c>
      <c r="J2" t="s">
        <v>11</v>
      </c>
      <c r="K2" s="7">
        <v>1.4773913E-2</v>
      </c>
      <c r="L2" s="7">
        <v>1.3456673000000001E-2</v>
      </c>
      <c r="M2" s="7">
        <v>1.7601907E-2</v>
      </c>
      <c r="N2" s="7">
        <v>2.3548340000000001E-2</v>
      </c>
    </row>
    <row r="3" spans="1:15" x14ac:dyDescent="0.2">
      <c r="A3" s="5" t="s">
        <v>8</v>
      </c>
      <c r="B3" s="2" t="s">
        <v>0</v>
      </c>
      <c r="C3" s="2">
        <v>2.6542739999999999E-2</v>
      </c>
      <c r="D3" s="2">
        <v>1.938954E-2</v>
      </c>
      <c r="E3" s="2">
        <v>2.3610519999999999E-2</v>
      </c>
      <c r="F3" s="2">
        <v>2.4459560000000002E-2</v>
      </c>
    </row>
    <row r="4" spans="1:15" x14ac:dyDescent="0.2">
      <c r="A4" s="5"/>
      <c r="B4" s="2" t="s">
        <v>1</v>
      </c>
      <c r="C4" s="2">
        <v>2.0378609999999998E-2</v>
      </c>
      <c r="D4" s="2">
        <v>2.1227679999999999E-2</v>
      </c>
      <c r="E4" s="2">
        <v>1.8762069999999999E-2</v>
      </c>
      <c r="F4" s="2">
        <v>1.5987649999999999E-2</v>
      </c>
    </row>
    <row r="5" spans="1:15" x14ac:dyDescent="0.2">
      <c r="A5" s="5"/>
      <c r="B5" s="2" t="s">
        <v>2</v>
      </c>
      <c r="C5" s="2">
        <v>1.852142E-2</v>
      </c>
      <c r="D5" s="2">
        <v>2.9502939999999998E-2</v>
      </c>
      <c r="E5" s="2">
        <v>1.6146400000000002E-2</v>
      </c>
      <c r="F5" s="3">
        <v>1.544922E-2</v>
      </c>
    </row>
    <row r="6" spans="1:15" x14ac:dyDescent="0.2">
      <c r="A6" s="5"/>
      <c r="B6" s="2" t="s">
        <v>3</v>
      </c>
      <c r="C6" s="3">
        <v>1.486466E-2</v>
      </c>
      <c r="D6" s="3">
        <v>1.3406950000000001E-2</v>
      </c>
      <c r="E6" s="3">
        <v>1.435987E-2</v>
      </c>
      <c r="F6" s="2">
        <v>1.9218510000000001E-2</v>
      </c>
    </row>
    <row r="7" spans="1:15" x14ac:dyDescent="0.2">
      <c r="A7" s="2"/>
      <c r="B7" s="2"/>
      <c r="C7" s="2"/>
      <c r="D7" s="2"/>
      <c r="E7" s="2"/>
      <c r="F7" s="2"/>
    </row>
    <row r="8" spans="1:15" x14ac:dyDescent="0.2">
      <c r="A8" s="5" t="s">
        <v>9</v>
      </c>
      <c r="B8" s="2" t="s">
        <v>0</v>
      </c>
      <c r="C8" s="2">
        <v>2.1184669999999999E-2</v>
      </c>
      <c r="D8" s="2">
        <v>2.033213E-2</v>
      </c>
      <c r="E8" s="2">
        <v>2.1006400000000001E-2</v>
      </c>
      <c r="F8" s="2">
        <v>2.1194589999999999E-2</v>
      </c>
    </row>
    <row r="9" spans="1:15" x14ac:dyDescent="0.2">
      <c r="A9" s="5"/>
      <c r="B9" s="2" t="s">
        <v>1</v>
      </c>
      <c r="C9" s="2">
        <v>1.9772419999999999E-2</v>
      </c>
      <c r="D9" s="2">
        <v>1.8537809999999998E-2</v>
      </c>
      <c r="E9" s="2">
        <v>1.7354620000000001E-2</v>
      </c>
      <c r="F9" s="2">
        <v>1.7174709999999999E-2</v>
      </c>
    </row>
    <row r="10" spans="1:15" x14ac:dyDescent="0.2">
      <c r="A10" s="5"/>
      <c r="B10" s="2" t="s">
        <v>2</v>
      </c>
      <c r="C10" s="2">
        <v>1.8211740000000001E-2</v>
      </c>
      <c r="D10" s="2">
        <v>1.723599E-2</v>
      </c>
      <c r="E10" s="2">
        <v>1.7005070000000001E-2</v>
      </c>
      <c r="F10" s="3">
        <v>1.6307370000000002E-2</v>
      </c>
      <c r="J10" t="s">
        <v>12</v>
      </c>
    </row>
    <row r="11" spans="1:15" x14ac:dyDescent="0.2">
      <c r="A11" s="5"/>
      <c r="B11" s="2" t="s">
        <v>3</v>
      </c>
      <c r="C11" s="3">
        <v>1.7585139999999999E-2</v>
      </c>
      <c r="D11" s="3">
        <v>1.6567579999999998E-2</v>
      </c>
      <c r="E11" s="3">
        <v>1.6919980000000001E-2</v>
      </c>
      <c r="F11" s="2">
        <v>1.843034E-2</v>
      </c>
      <c r="J11" s="2"/>
      <c r="K11" s="2"/>
      <c r="L11" s="6" t="s">
        <v>10</v>
      </c>
      <c r="M11" s="6"/>
      <c r="N11" s="6"/>
      <c r="O11" s="6"/>
    </row>
    <row r="12" spans="1:15" x14ac:dyDescent="0.2">
      <c r="J12" s="2"/>
      <c r="K12" s="2"/>
      <c r="L12" s="4" t="s">
        <v>4</v>
      </c>
      <c r="M12" s="4" t="s">
        <v>5</v>
      </c>
      <c r="N12" s="4" t="s">
        <v>6</v>
      </c>
      <c r="O12" s="4" t="s">
        <v>7</v>
      </c>
    </row>
    <row r="13" spans="1:15" x14ac:dyDescent="0.2">
      <c r="J13" s="5" t="s">
        <v>8</v>
      </c>
      <c r="K13" s="2" t="s">
        <v>0</v>
      </c>
      <c r="L13" s="10">
        <f>C3*(K$2^2)</f>
        <v>5.7934441872044489E-6</v>
      </c>
      <c r="M13" s="10">
        <f t="shared" ref="M13:O13" si="0">D3*(L$2^2)</f>
        <v>3.5110976174167481E-6</v>
      </c>
      <c r="N13" s="10">
        <f t="shared" si="0"/>
        <v>7.3151796502729025E-6</v>
      </c>
      <c r="O13" s="10">
        <f t="shared" si="0"/>
        <v>1.3563420797142606E-5</v>
      </c>
    </row>
    <row r="14" spans="1:15" x14ac:dyDescent="0.2">
      <c r="J14" s="5"/>
      <c r="K14" s="2" t="s">
        <v>1</v>
      </c>
      <c r="L14" s="10">
        <f t="shared" ref="L14:L21" si="1">C4*(K$2^2)</f>
        <v>4.4480087454349653E-6</v>
      </c>
      <c r="M14" s="10">
        <f t="shared" ref="M14:M21" si="2">D4*(L$2^2)</f>
        <v>3.843951773548272E-6</v>
      </c>
      <c r="N14" s="10">
        <f t="shared" ref="N14:N21" si="3">E4*(M$2^2)</f>
        <v>5.8129983016467111E-6</v>
      </c>
      <c r="O14" s="10">
        <f t="shared" ref="O14:O21" si="4">F4*(N$2^2)</f>
        <v>8.8655406927776693E-6</v>
      </c>
    </row>
    <row r="15" spans="1:15" x14ac:dyDescent="0.2">
      <c r="J15" s="5"/>
      <c r="K15" s="2" t="s">
        <v>2</v>
      </c>
      <c r="L15" s="10">
        <f t="shared" si="1"/>
        <v>4.0426426600182284E-6</v>
      </c>
      <c r="M15" s="10">
        <f t="shared" si="2"/>
        <v>5.3424528039751984E-6</v>
      </c>
      <c r="N15" s="10">
        <f t="shared" si="3"/>
        <v>5.0025927724237501E-6</v>
      </c>
      <c r="O15" s="11">
        <f t="shared" si="4"/>
        <v>8.5669681649069525E-6</v>
      </c>
    </row>
    <row r="16" spans="1:15" x14ac:dyDescent="0.2">
      <c r="J16" s="5"/>
      <c r="K16" s="2" t="s">
        <v>3</v>
      </c>
      <c r="L16" s="11">
        <f t="shared" si="1"/>
        <v>3.2444871204619602E-6</v>
      </c>
      <c r="M16" s="11">
        <f t="shared" si="2"/>
        <v>2.4277579665028399E-6</v>
      </c>
      <c r="N16" s="11">
        <f t="shared" si="3"/>
        <v>4.4490773097993755E-6</v>
      </c>
      <c r="O16" s="10">
        <f t="shared" si="4"/>
        <v>1.0657131126810668E-5</v>
      </c>
    </row>
    <row r="17" spans="1:15" x14ac:dyDescent="0.2">
      <c r="J17" s="2"/>
      <c r="K17" s="2"/>
      <c r="L17" s="10"/>
      <c r="M17" s="10"/>
      <c r="N17" s="10"/>
      <c r="O17" s="10"/>
    </row>
    <row r="18" spans="1:15" x14ac:dyDescent="0.2">
      <c r="A18" s="2"/>
      <c r="B18" s="2"/>
      <c r="C18" s="6" t="s">
        <v>10</v>
      </c>
      <c r="D18" s="6"/>
      <c r="E18" s="6"/>
      <c r="F18" s="6"/>
      <c r="J18" s="5" t="s">
        <v>9</v>
      </c>
      <c r="K18" s="2" t="s">
        <v>0</v>
      </c>
      <c r="L18" s="10">
        <f t="shared" si="1"/>
        <v>4.6239462568425292E-6</v>
      </c>
      <c r="M18" s="10">
        <f t="shared" si="2"/>
        <v>3.6817837452568545E-6</v>
      </c>
      <c r="N18" s="10">
        <f t="shared" si="3"/>
        <v>6.5083526244018641E-6</v>
      </c>
      <c r="O18" s="10">
        <f t="shared" si="4"/>
        <v>1.1752915538665073E-5</v>
      </c>
    </row>
    <row r="19" spans="1:15" x14ac:dyDescent="0.2">
      <c r="A19" s="2"/>
      <c r="B19" s="2"/>
      <c r="C19" s="4" t="s">
        <v>4</v>
      </c>
      <c r="D19" s="4" t="s">
        <v>5</v>
      </c>
      <c r="E19" s="4" t="s">
        <v>6</v>
      </c>
      <c r="F19" s="4" t="s">
        <v>7</v>
      </c>
      <c r="J19" s="5"/>
      <c r="K19" s="2" t="s">
        <v>1</v>
      </c>
      <c r="L19" s="10">
        <f t="shared" si="1"/>
        <v>4.3156965601880212E-6</v>
      </c>
      <c r="M19" s="10">
        <f t="shared" si="2"/>
        <v>3.3568646044787222E-6</v>
      </c>
      <c r="N19" s="10">
        <f t="shared" si="3"/>
        <v>5.3769321074766303E-6</v>
      </c>
      <c r="O19" s="10">
        <f t="shared" si="4"/>
        <v>9.5237943282255724E-6</v>
      </c>
    </row>
    <row r="20" spans="1:15" x14ac:dyDescent="0.2">
      <c r="A20" s="5" t="s">
        <v>13</v>
      </c>
      <c r="B20" s="2" t="s">
        <v>0</v>
      </c>
      <c r="C20" s="2">
        <v>0.11525721</v>
      </c>
      <c r="D20" s="2">
        <v>9.4660279999999999E-2</v>
      </c>
      <c r="E20" s="2">
        <v>0.11466030000000001</v>
      </c>
      <c r="F20" s="2">
        <v>0.12029703999999999</v>
      </c>
      <c r="J20" s="5"/>
      <c r="K20" s="2" t="s">
        <v>2</v>
      </c>
      <c r="L20" s="10">
        <f t="shared" si="1"/>
        <v>3.9750492692871484E-6</v>
      </c>
      <c r="M20" s="10">
        <f t="shared" si="2"/>
        <v>3.121128372453338E-6</v>
      </c>
      <c r="N20" s="10">
        <f t="shared" si="3"/>
        <v>5.2686320341723193E-6</v>
      </c>
      <c r="O20" s="11">
        <f t="shared" si="4"/>
        <v>9.0428332073307714E-6</v>
      </c>
    </row>
    <row r="21" spans="1:15" x14ac:dyDescent="0.2">
      <c r="A21" s="5"/>
      <c r="B21" s="2" t="s">
        <v>1</v>
      </c>
      <c r="C21" s="2">
        <v>8.2996829999999994E-2</v>
      </c>
      <c r="D21" s="2">
        <v>9.733385E-2</v>
      </c>
      <c r="E21" s="2">
        <v>6.4129640000000002E-2</v>
      </c>
      <c r="F21" s="2">
        <v>6.4883869999999996E-2</v>
      </c>
      <c r="J21" s="5"/>
      <c r="K21" s="2" t="s">
        <v>3</v>
      </c>
      <c r="L21" s="11">
        <f t="shared" si="1"/>
        <v>3.8382822238463872E-6</v>
      </c>
      <c r="M21" s="11">
        <f t="shared" si="2"/>
        <v>3.0000913205966396E-6</v>
      </c>
      <c r="N21" s="11">
        <f t="shared" si="3"/>
        <v>5.2422688436775013E-6</v>
      </c>
      <c r="O21" s="10">
        <f t="shared" si="4"/>
        <v>1.0220071696073407E-5</v>
      </c>
    </row>
    <row r="22" spans="1:15" x14ac:dyDescent="0.2">
      <c r="A22" s="5"/>
      <c r="B22" s="2" t="s">
        <v>2</v>
      </c>
      <c r="C22" s="2">
        <v>6.0953229999999997E-2</v>
      </c>
      <c r="D22" s="2">
        <v>7.9260449999999996E-2</v>
      </c>
      <c r="E22" s="2">
        <v>7.0823140000000007E-2</v>
      </c>
      <c r="F22" s="3">
        <v>5.7937309999999999E-2</v>
      </c>
    </row>
    <row r="23" spans="1:15" x14ac:dyDescent="0.2">
      <c r="A23" s="5"/>
      <c r="B23" s="2" t="s">
        <v>3</v>
      </c>
      <c r="C23" s="3">
        <v>5.5707189999999997E-2</v>
      </c>
      <c r="D23" s="3">
        <v>5.6870370000000003E-2</v>
      </c>
      <c r="E23" s="3">
        <v>5.3792220000000002E-2</v>
      </c>
      <c r="F23" s="2">
        <v>6.8501240000000005E-2</v>
      </c>
    </row>
    <row r="24" spans="1:15" x14ac:dyDescent="0.2">
      <c r="A24" s="2"/>
      <c r="B24" s="2"/>
      <c r="C24" s="2"/>
      <c r="D24" s="2"/>
      <c r="E24" s="2"/>
      <c r="F24" s="2"/>
    </row>
    <row r="25" spans="1:15" x14ac:dyDescent="0.2">
      <c r="A25" s="5" t="s">
        <v>14</v>
      </c>
      <c r="B25" s="2" t="s">
        <v>0</v>
      </c>
      <c r="C25" s="2">
        <v>0.10187482</v>
      </c>
      <c r="D25" s="2">
        <v>9.5869289999999996E-2</v>
      </c>
      <c r="E25" s="2">
        <v>0.10095345999999999</v>
      </c>
      <c r="F25" s="2">
        <v>8.6419460000000003E-2</v>
      </c>
    </row>
    <row r="26" spans="1:15" x14ac:dyDescent="0.2">
      <c r="A26" s="5"/>
      <c r="B26" s="2" t="s">
        <v>1</v>
      </c>
      <c r="C26" s="2">
        <v>9.3079460000000003E-2</v>
      </c>
      <c r="D26" s="2">
        <v>8.3523169999999994E-2</v>
      </c>
      <c r="E26" s="2">
        <v>7.3421139999999996E-2</v>
      </c>
      <c r="F26" s="2">
        <v>7.3405570000000003E-2</v>
      </c>
    </row>
    <row r="27" spans="1:15" x14ac:dyDescent="0.2">
      <c r="A27" s="5"/>
      <c r="B27" s="2" t="s">
        <v>2</v>
      </c>
      <c r="C27" s="2">
        <v>8.1262630000000002E-2</v>
      </c>
      <c r="D27" s="2">
        <v>7.1003490000000002E-2</v>
      </c>
      <c r="E27" s="3">
        <v>6.7970199999999995E-2</v>
      </c>
      <c r="F27" s="3">
        <v>6.0841310000000003E-2</v>
      </c>
      <c r="J27" t="s">
        <v>12</v>
      </c>
    </row>
    <row r="28" spans="1:15" x14ac:dyDescent="0.2">
      <c r="A28" s="5"/>
      <c r="B28" s="2" t="s">
        <v>3</v>
      </c>
      <c r="C28" s="3">
        <v>6.370265E-2</v>
      </c>
      <c r="D28" s="3">
        <v>6.5556669999999997E-2</v>
      </c>
      <c r="E28" s="2">
        <v>6.9653519999999997E-2</v>
      </c>
      <c r="F28" s="2">
        <v>6.8649119999999994E-2</v>
      </c>
      <c r="J28" s="2"/>
      <c r="K28" s="2"/>
      <c r="L28" s="6" t="s">
        <v>10</v>
      </c>
      <c r="M28" s="6"/>
      <c r="N28" s="6"/>
      <c r="O28" s="6"/>
    </row>
    <row r="29" spans="1:15" x14ac:dyDescent="0.2">
      <c r="J29" s="2"/>
      <c r="K29" s="2"/>
      <c r="L29" s="4" t="s">
        <v>4</v>
      </c>
      <c r="M29" s="4" t="s">
        <v>5</v>
      </c>
      <c r="N29" s="4" t="s">
        <v>6</v>
      </c>
      <c r="O29" s="4" t="s">
        <v>7</v>
      </c>
    </row>
    <row r="30" spans="1:15" x14ac:dyDescent="0.2">
      <c r="J30" s="5" t="s">
        <v>13</v>
      </c>
      <c r="K30" s="2" t="s">
        <v>0</v>
      </c>
      <c r="L30" s="8">
        <f>C20*(K$2)</f>
        <v>1.7027999931627299E-3</v>
      </c>
      <c r="M30" s="8">
        <f t="shared" ref="M30:O30" si="5">D20*(L$2)</f>
        <v>1.27381243404844E-3</v>
      </c>
      <c r="N30" s="8">
        <f t="shared" si="5"/>
        <v>2.0182399371921002E-3</v>
      </c>
      <c r="O30" s="8">
        <f t="shared" si="5"/>
        <v>2.8327955989136001E-3</v>
      </c>
    </row>
    <row r="31" spans="1:15" x14ac:dyDescent="0.2">
      <c r="J31" s="5"/>
      <c r="K31" s="2" t="s">
        <v>1</v>
      </c>
      <c r="L31" s="8">
        <f t="shared" ref="L31:L38" si="6">C21*(K$2)</f>
        <v>1.2261879456957898E-3</v>
      </c>
      <c r="M31" s="8">
        <f t="shared" ref="M31:M38" si="7">D21*(L$2)</f>
        <v>1.30978979128105E-3</v>
      </c>
      <c r="N31" s="8">
        <f t="shared" ref="N31:N38" si="8">E21*(M$2)</f>
        <v>1.12880395922348E-3</v>
      </c>
      <c r="O31" s="8">
        <f t="shared" ref="O31:O38" si="9">F21*(N$2)</f>
        <v>1.5279074312758E-3</v>
      </c>
    </row>
    <row r="32" spans="1:15" x14ac:dyDescent="0.2">
      <c r="J32" s="5"/>
      <c r="K32" s="2" t="s">
        <v>2</v>
      </c>
      <c r="L32" s="8">
        <f t="shared" si="6"/>
        <v>9.0051771708898995E-4</v>
      </c>
      <c r="M32" s="8">
        <f t="shared" si="7"/>
        <v>1.06658195748285E-3</v>
      </c>
      <c r="N32" s="8">
        <f t="shared" si="8"/>
        <v>1.2466223237279802E-3</v>
      </c>
      <c r="O32" s="9">
        <f t="shared" si="9"/>
        <v>1.3643274745654E-3</v>
      </c>
    </row>
    <row r="33" spans="10:15" x14ac:dyDescent="0.2">
      <c r="J33" s="5"/>
      <c r="K33" s="2" t="s">
        <v>3</v>
      </c>
      <c r="L33" s="9">
        <f t="shared" si="6"/>
        <v>8.2301317853446991E-4</v>
      </c>
      <c r="M33" s="9">
        <f t="shared" si="7"/>
        <v>7.6528597247901007E-4</v>
      </c>
      <c r="N33" s="9">
        <f t="shared" si="8"/>
        <v>9.4684565376354003E-4</v>
      </c>
      <c r="O33" s="8">
        <f t="shared" si="9"/>
        <v>1.6130904899416003E-3</v>
      </c>
    </row>
    <row r="34" spans="10:15" x14ac:dyDescent="0.2">
      <c r="J34" s="2"/>
      <c r="K34" s="2"/>
      <c r="L34" s="8"/>
      <c r="M34" s="8"/>
      <c r="N34" s="8"/>
      <c r="O34" s="8"/>
    </row>
    <row r="35" spans="10:15" x14ac:dyDescent="0.2">
      <c r="J35" s="5" t="s">
        <v>14</v>
      </c>
      <c r="K35" s="2" t="s">
        <v>0</v>
      </c>
      <c r="L35" s="8">
        <f t="shared" si="6"/>
        <v>1.50508972757066E-3</v>
      </c>
      <c r="M35" s="8">
        <f t="shared" si="7"/>
        <v>1.2900816862721699E-3</v>
      </c>
      <c r="N35" s="8">
        <f t="shared" si="8"/>
        <v>1.77697341424822E-3</v>
      </c>
      <c r="O35" s="8">
        <f t="shared" si="9"/>
        <v>2.0350348266964004E-3</v>
      </c>
    </row>
    <row r="36" spans="10:15" x14ac:dyDescent="0.2">
      <c r="J36" s="5"/>
      <c r="K36" s="2" t="s">
        <v>1</v>
      </c>
      <c r="L36" s="8">
        <f t="shared" si="6"/>
        <v>1.3751478441269801E-3</v>
      </c>
      <c r="M36" s="8">
        <f t="shared" si="7"/>
        <v>1.12394398661341E-3</v>
      </c>
      <c r="N36" s="8">
        <f t="shared" si="8"/>
        <v>1.29235207811398E-3</v>
      </c>
      <c r="O36" s="8">
        <f t="shared" si="9"/>
        <v>1.7285793202538001E-3</v>
      </c>
    </row>
    <row r="37" spans="10:15" x14ac:dyDescent="0.2">
      <c r="J37" s="5"/>
      <c r="K37" s="2" t="s">
        <v>2</v>
      </c>
      <c r="L37" s="8">
        <f t="shared" si="6"/>
        <v>1.2005670257711899E-3</v>
      </c>
      <c r="M37" s="8">
        <f t="shared" si="7"/>
        <v>9.5547074678877008E-4</v>
      </c>
      <c r="N37" s="9">
        <f t="shared" si="8"/>
        <v>1.1964051391713999E-3</v>
      </c>
      <c r="O37" s="9">
        <f t="shared" si="9"/>
        <v>1.4327118539254001E-3</v>
      </c>
    </row>
    <row r="38" spans="10:15" x14ac:dyDescent="0.2">
      <c r="J38" s="5"/>
      <c r="K38" s="2" t="s">
        <v>3</v>
      </c>
      <c r="L38" s="9">
        <f t="shared" si="6"/>
        <v>9.4113740896944998E-4</v>
      </c>
      <c r="M38" s="9">
        <f t="shared" si="7"/>
        <v>8.8217467115891002E-4</v>
      </c>
      <c r="N38" s="8">
        <f t="shared" si="8"/>
        <v>1.2260347812626398E-3</v>
      </c>
      <c r="O38" s="8">
        <f t="shared" si="9"/>
        <v>1.6165728184607999E-3</v>
      </c>
    </row>
  </sheetData>
  <mergeCells count="12">
    <mergeCell ref="J30:J33"/>
    <mergeCell ref="J35:J38"/>
    <mergeCell ref="A25:A28"/>
    <mergeCell ref="L11:O11"/>
    <mergeCell ref="J13:J16"/>
    <mergeCell ref="J18:J21"/>
    <mergeCell ref="L28:O28"/>
    <mergeCell ref="A3:A6"/>
    <mergeCell ref="A8:A11"/>
    <mergeCell ref="C1:F1"/>
    <mergeCell ref="C18:F18"/>
    <mergeCell ref="A20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44CB-CEC8-7B4D-ADF4-5A08BD68CBD3}">
  <dimension ref="A1:E5"/>
  <sheetViews>
    <sheetView workbookViewId="0">
      <selection activeCell="F12" sqref="F12"/>
    </sheetView>
  </sheetViews>
  <sheetFormatPr baseColWidth="10" defaultRowHeight="16" x14ac:dyDescent="0.2"/>
  <sheetData>
    <row r="1" spans="1:5" x14ac:dyDescent="0.2">
      <c r="A1" t="s">
        <v>8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s="2" t="s">
        <v>0</v>
      </c>
      <c r="B2">
        <v>5.7934441872044489E-6</v>
      </c>
      <c r="C2">
        <v>3.5110976174167481E-6</v>
      </c>
      <c r="D2">
        <v>7.3151796502729025E-6</v>
      </c>
      <c r="E2">
        <v>1.3563420797142606E-5</v>
      </c>
    </row>
    <row r="3" spans="1:5" x14ac:dyDescent="0.2">
      <c r="A3" s="2" t="s">
        <v>1</v>
      </c>
      <c r="B3">
        <v>4.4480087454349653E-6</v>
      </c>
      <c r="C3">
        <v>3.843951773548272E-6</v>
      </c>
      <c r="D3">
        <v>5.8129983016467111E-6</v>
      </c>
      <c r="E3">
        <v>8.8655406927776693E-6</v>
      </c>
    </row>
    <row r="4" spans="1:5" x14ac:dyDescent="0.2">
      <c r="A4" s="2" t="s">
        <v>2</v>
      </c>
      <c r="B4">
        <v>4.0426426600182284E-6</v>
      </c>
      <c r="C4">
        <v>5.3424528039751984E-6</v>
      </c>
      <c r="D4">
        <v>5.0025927724237501E-6</v>
      </c>
      <c r="E4">
        <v>8.5669681649069525E-6</v>
      </c>
    </row>
    <row r="5" spans="1:5" x14ac:dyDescent="0.2">
      <c r="A5" s="2" t="s">
        <v>3</v>
      </c>
      <c r="B5">
        <v>3.2444871204619602E-6</v>
      </c>
      <c r="C5">
        <v>2.4277579665028399E-6</v>
      </c>
      <c r="D5">
        <v>4.4490773097993755E-6</v>
      </c>
      <c r="E5">
        <v>1.0657131126810668E-5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C812-F8CE-B845-9CE1-59874318708C}">
  <dimension ref="A1:E5"/>
  <sheetViews>
    <sheetView workbookViewId="0"/>
  </sheetViews>
  <sheetFormatPr baseColWidth="10" defaultRowHeight="16" x14ac:dyDescent="0.2"/>
  <sheetData>
    <row r="1" spans="1:5" x14ac:dyDescent="0.2">
      <c r="A1" t="s">
        <v>9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2">
      <c r="A2" s="2" t="s">
        <v>0</v>
      </c>
      <c r="B2">
        <v>4.6239462568425292E-6</v>
      </c>
      <c r="C2">
        <v>3.6817837452568545E-6</v>
      </c>
      <c r="D2">
        <v>6.5083526244018641E-6</v>
      </c>
      <c r="E2">
        <v>1.1752915538665073E-5</v>
      </c>
    </row>
    <row r="3" spans="1:5" x14ac:dyDescent="0.2">
      <c r="A3" s="2" t="s">
        <v>1</v>
      </c>
      <c r="B3">
        <v>4.3156965601880212E-6</v>
      </c>
      <c r="C3">
        <v>3.3568646044787222E-6</v>
      </c>
      <c r="D3">
        <v>5.3769321074766303E-6</v>
      </c>
      <c r="E3">
        <v>9.5237943282255724E-6</v>
      </c>
    </row>
    <row r="4" spans="1:5" x14ac:dyDescent="0.2">
      <c r="A4" s="2" t="s">
        <v>2</v>
      </c>
      <c r="B4">
        <v>3.9750492692871484E-6</v>
      </c>
      <c r="C4">
        <v>3.121128372453338E-6</v>
      </c>
      <c r="D4">
        <v>5.2686320341723193E-6</v>
      </c>
      <c r="E4">
        <v>9.0428332073307714E-6</v>
      </c>
    </row>
    <row r="5" spans="1:5" x14ac:dyDescent="0.2">
      <c r="A5" s="2" t="s">
        <v>3</v>
      </c>
      <c r="B5">
        <v>3.8382822238463872E-6</v>
      </c>
      <c r="C5">
        <v>3.0000913205966396E-6</v>
      </c>
      <c r="D5">
        <v>5.2422688436775013E-6</v>
      </c>
      <c r="E5">
        <v>1.0220071696073407E-5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518A-7018-DE41-A8FA-DC8DD018C762}">
  <dimension ref="A1:E5"/>
  <sheetViews>
    <sheetView workbookViewId="0"/>
  </sheetViews>
  <sheetFormatPr baseColWidth="10" defaultRowHeight="16" x14ac:dyDescent="0.2"/>
  <sheetData>
    <row r="1" spans="1:5" x14ac:dyDescent="0.2">
      <c r="A1" t="s">
        <v>13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2">
      <c r="A2" s="2" t="s">
        <v>0</v>
      </c>
      <c r="B2">
        <v>1.7027999931627299E-3</v>
      </c>
      <c r="C2">
        <v>1.27381243404844E-3</v>
      </c>
      <c r="D2">
        <v>2.0182399371921002E-3</v>
      </c>
      <c r="E2">
        <v>2.8327955989136001E-3</v>
      </c>
    </row>
    <row r="3" spans="1:5" x14ac:dyDescent="0.2">
      <c r="A3" s="2" t="s">
        <v>1</v>
      </c>
      <c r="B3">
        <v>1.2261879456957898E-3</v>
      </c>
      <c r="C3">
        <v>1.30978979128105E-3</v>
      </c>
      <c r="D3">
        <v>1.12880395922348E-3</v>
      </c>
      <c r="E3">
        <v>1.5279074312758E-3</v>
      </c>
    </row>
    <row r="4" spans="1:5" x14ac:dyDescent="0.2">
      <c r="A4" s="2" t="s">
        <v>2</v>
      </c>
      <c r="B4">
        <v>9.0051771708898995E-4</v>
      </c>
      <c r="C4">
        <v>1.06658195748285E-3</v>
      </c>
      <c r="D4">
        <v>1.2466223237279802E-3</v>
      </c>
      <c r="E4">
        <v>1.3643274745654E-3</v>
      </c>
    </row>
    <row r="5" spans="1:5" x14ac:dyDescent="0.2">
      <c r="A5" s="2" t="s">
        <v>3</v>
      </c>
      <c r="B5">
        <v>8.2301317853446991E-4</v>
      </c>
      <c r="C5">
        <v>7.6528597247901007E-4</v>
      </c>
      <c r="D5">
        <v>9.4684565376354003E-4</v>
      </c>
      <c r="E5">
        <v>1.6130904899416003E-3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ACDB-2CF3-FE4A-AB8B-8A61A1022CF4}">
  <dimension ref="A1:E5"/>
  <sheetViews>
    <sheetView tabSelected="1" workbookViewId="0">
      <selection activeCell="G13" sqref="G13"/>
    </sheetView>
  </sheetViews>
  <sheetFormatPr baseColWidth="10" defaultRowHeight="16" x14ac:dyDescent="0.2"/>
  <sheetData>
    <row r="1" spans="1:5" x14ac:dyDescent="0.2">
      <c r="A1" t="s">
        <v>14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2">
      <c r="A2" s="2" t="s">
        <v>0</v>
      </c>
      <c r="B2">
        <v>1.50508972757066E-3</v>
      </c>
      <c r="C2">
        <v>1.2900816862721699E-3</v>
      </c>
      <c r="D2">
        <v>1.77697341424822E-3</v>
      </c>
      <c r="E2">
        <v>2.0350348266964004E-3</v>
      </c>
    </row>
    <row r="3" spans="1:5" x14ac:dyDescent="0.2">
      <c r="A3" s="2" t="s">
        <v>1</v>
      </c>
      <c r="B3">
        <v>1.3751478441269801E-3</v>
      </c>
      <c r="C3">
        <v>1.12394398661341E-3</v>
      </c>
      <c r="D3">
        <v>1.29235207811398E-3</v>
      </c>
      <c r="E3">
        <v>1.7285793202538001E-3</v>
      </c>
    </row>
    <row r="4" spans="1:5" x14ac:dyDescent="0.2">
      <c r="A4" s="2" t="s">
        <v>2</v>
      </c>
      <c r="B4">
        <v>1.2005670257711899E-3</v>
      </c>
      <c r="C4">
        <v>9.5547074678877008E-4</v>
      </c>
      <c r="D4">
        <v>1.1964051391713999E-3</v>
      </c>
      <c r="E4">
        <v>1.4327118539254001E-3</v>
      </c>
    </row>
    <row r="5" spans="1:5" x14ac:dyDescent="0.2">
      <c r="A5" s="2" t="s">
        <v>3</v>
      </c>
      <c r="B5">
        <v>9.4113740896944998E-4</v>
      </c>
      <c r="C5">
        <v>8.8217467115891002E-4</v>
      </c>
      <c r="D5">
        <v>1.2260347812626398E-3</v>
      </c>
      <c r="E5">
        <v>1.6165728184607999E-3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MSE20</vt:lpstr>
      <vt:lpstr>MAE20</vt:lpstr>
      <vt:lpstr>MSE100</vt:lpstr>
      <vt:lpstr>MAE100</vt:lpstr>
      <vt:lpstr>presenting</vt:lpstr>
      <vt:lpstr>original_MSE20</vt:lpstr>
      <vt:lpstr>original_MSE100</vt:lpstr>
      <vt:lpstr>original_MAE20</vt:lpstr>
      <vt:lpstr>original_MAE100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jiayou chen</dc:creator>
  <cp:lastModifiedBy>jiayou chen</cp:lastModifiedBy>
  <dcterms:created xsi:type="dcterms:W3CDTF">2024-12-05T08:59:43Z</dcterms:created>
  <dcterms:modified xsi:type="dcterms:W3CDTF">2024-12-07T05:24:35Z</dcterms:modified>
</cp:coreProperties>
</file>